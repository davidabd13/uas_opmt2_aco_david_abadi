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akrawala University\Semester 3\OpMT2\"/>
    </mc:Choice>
  </mc:AlternateContent>
  <xr:revisionPtr revIDLastSave="0" documentId="13_ncr:1_{78ACB04D-C0A6-43EC-BD87-4DCED698B5E4}" xr6:coauthVersionLast="47" xr6:coauthVersionMax="47" xr10:uidLastSave="{00000000-0000-0000-0000-000000000000}"/>
  <bookViews>
    <workbookView xWindow="2508" yWindow="2508" windowWidth="17280" windowHeight="8880" activeTab="2" xr2:uid="{6CAF647A-C56A-4B60-B12A-89E7EB446162}"/>
  </bookViews>
  <sheets>
    <sheet name="Total Jarak" sheetId="7" r:id="rId1"/>
    <sheet name="Rute Semut" sheetId="6" r:id="rId2"/>
    <sheet name="Probabilitas A" sheetId="5" r:id="rId3"/>
    <sheet name="Feromon" sheetId="4" r:id="rId4"/>
    <sheet name="Visibility" sheetId="3" r:id="rId5"/>
    <sheet name="Jarak" sheetId="2" r:id="rId6"/>
    <sheet name="Parameter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D3" i="5"/>
  <c r="C3" i="5"/>
  <c r="B3" i="5"/>
  <c r="E8" i="5" s="1"/>
  <c r="B5" i="5"/>
  <c r="B10" i="5" s="1"/>
  <c r="B8" i="5"/>
  <c r="F2" i="5"/>
  <c r="E2" i="5"/>
  <c r="D2" i="5"/>
  <c r="C2" i="5"/>
  <c r="B2" i="5"/>
  <c r="A1" i="7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E1" i="3"/>
  <c r="D1" i="3"/>
  <c r="C1" i="3"/>
  <c r="B1" i="3"/>
  <c r="A1" i="3"/>
  <c r="C8" i="5" l="1"/>
  <c r="D8" i="5"/>
  <c r="F3" i="5"/>
</calcChain>
</file>

<file path=xl/sharedStrings.xml><?xml version="1.0" encoding="utf-8"?>
<sst xmlns="http://schemas.openxmlformats.org/spreadsheetml/2006/main" count="48" uniqueCount="19">
  <si>
    <t>A</t>
  </si>
  <si>
    <t>B</t>
  </si>
  <si>
    <t>Parameter</t>
  </si>
  <si>
    <t>Nilai</t>
  </si>
  <si>
    <t>Alpha (α)</t>
  </si>
  <si>
    <t>Beta (β)</t>
  </si>
  <si>
    <t>Evaporation (ρ)</t>
  </si>
  <si>
    <t>Q (Konstanta Feromon)</t>
  </si>
  <si>
    <t>Jumlah Semut</t>
  </si>
  <si>
    <t>Jumlah Iterasi</t>
  </si>
  <si>
    <t>C</t>
  </si>
  <si>
    <t>D</t>
  </si>
  <si>
    <t>E</t>
  </si>
  <si>
    <t>Langkah</t>
  </si>
  <si>
    <t>Kota</t>
  </si>
  <si>
    <t>TOTAL</t>
  </si>
  <si>
    <t>Dari A ke</t>
  </si>
  <si>
    <t>Random Number</t>
  </si>
  <si>
    <t>Kota Terpilih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</si>
</sst>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78FD-2B20-4328-8D09-264EB2290C1F}">
  <dimension ref="A1"/>
  <sheetViews>
    <sheetView workbookViewId="0"/>
  </sheetViews>
  <sheetFormatPr defaultRowHeight="14.4" x14ac:dyDescent="0.3"/>
  <sheetData>
    <row r="1" spans="1:1" x14ac:dyDescent="0.3">
      <c r="A1">
        <f>Jarak!B2 + Jarak!C6 + Jarak!F4 + Jarak!D5 + Jarak!B5</f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958E-C373-4CDD-88B2-86A2E38460BD}">
  <dimension ref="A1:B7"/>
  <sheetViews>
    <sheetView workbookViewId="0">
      <selection activeCell="A2" sqref="A2"/>
    </sheetView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s="2">
        <v>1</v>
      </c>
      <c r="B2" s="2" t="s">
        <v>0</v>
      </c>
    </row>
    <row r="3" spans="1:2" x14ac:dyDescent="0.3">
      <c r="A3" s="2">
        <v>2</v>
      </c>
      <c r="B3" s="2" t="s">
        <v>1</v>
      </c>
    </row>
    <row r="4" spans="1:2" x14ac:dyDescent="0.3">
      <c r="A4" s="2">
        <v>3</v>
      </c>
      <c r="B4" s="2" t="s">
        <v>12</v>
      </c>
    </row>
    <row r="5" spans="1:2" x14ac:dyDescent="0.3">
      <c r="A5" s="2">
        <v>4</v>
      </c>
      <c r="B5" s="2" t="s">
        <v>10</v>
      </c>
    </row>
    <row r="6" spans="1:2" x14ac:dyDescent="0.3">
      <c r="A6" s="2">
        <v>5</v>
      </c>
      <c r="B6" s="2" t="s">
        <v>11</v>
      </c>
    </row>
    <row r="7" spans="1:2" x14ac:dyDescent="0.3">
      <c r="A7" s="2">
        <v>6</v>
      </c>
      <c r="B7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3B24-6CB5-4740-A28B-2B6720DCBD3A}">
  <dimension ref="A1:F10"/>
  <sheetViews>
    <sheetView tabSelected="1" workbookViewId="0">
      <selection activeCell="B18" sqref="B18"/>
    </sheetView>
  </sheetViews>
  <sheetFormatPr defaultRowHeight="14.4" x14ac:dyDescent="0.3"/>
  <cols>
    <col min="1" max="1" width="14.88671875" bestFit="1" customWidth="1"/>
  </cols>
  <sheetData>
    <row r="1" spans="1:6" x14ac:dyDescent="0.3">
      <c r="A1" t="s">
        <v>16</v>
      </c>
      <c r="B1" t="s">
        <v>1</v>
      </c>
      <c r="C1" t="s">
        <v>10</v>
      </c>
      <c r="D1" t="s">
        <v>11</v>
      </c>
      <c r="E1" t="s">
        <v>12</v>
      </c>
      <c r="F1" t="s">
        <v>15</v>
      </c>
    </row>
    <row r="2" spans="1:6" x14ac:dyDescent="0.3">
      <c r="B2">
        <f>(Feromon!B2^Parameter!$B$2)*(Visibility!B2^Parameter!$B$3)</f>
        <v>0</v>
      </c>
      <c r="C2">
        <f>(Feromon!C2^Parameter!$B$2)*(Visibility!C2^Parameter!$B$3)</f>
        <v>2.7777777777777779E-3</v>
      </c>
      <c r="D2">
        <f>(Feromon!D2^Parameter!$B$2)*(Visibility!D2^Parameter!$B$3)</f>
        <v>6.2500000000000003E-3</v>
      </c>
      <c r="E2">
        <f>(Feromon!E2^Parameter!$B$2)*(Visibility!E2^Parameter!$B$3)</f>
        <v>1.1111111111111112E-2</v>
      </c>
      <c r="F2">
        <f>SUM(B2:E2)</f>
        <v>2.013888888888889E-2</v>
      </c>
    </row>
    <row r="3" spans="1:6" x14ac:dyDescent="0.3">
      <c r="B3">
        <f>B2/$F$2</f>
        <v>0</v>
      </c>
      <c r="C3">
        <f t="shared" ref="C3:E3" si="0">C2/$F$2</f>
        <v>0.13793103448275862</v>
      </c>
      <c r="D3">
        <f t="shared" si="0"/>
        <v>0.31034482758620691</v>
      </c>
      <c r="E3">
        <f t="shared" si="0"/>
        <v>0.55172413793103448</v>
      </c>
      <c r="F3">
        <f>SUM(B3:E3)</f>
        <v>1</v>
      </c>
    </row>
    <row r="5" spans="1:6" x14ac:dyDescent="0.3">
      <c r="A5" t="s">
        <v>17</v>
      </c>
      <c r="B5">
        <f ca="1">RAND()</f>
        <v>0.46858967752745662</v>
      </c>
    </row>
    <row r="7" spans="1:6" x14ac:dyDescent="0.3">
      <c r="B7" t="s">
        <v>1</v>
      </c>
      <c r="C7" t="s">
        <v>10</v>
      </c>
      <c r="D7" t="s">
        <v>11</v>
      </c>
      <c r="E7" t="s">
        <v>12</v>
      </c>
    </row>
    <row r="8" spans="1:6" x14ac:dyDescent="0.3">
      <c r="B8">
        <f>B3</f>
        <v>0</v>
      </c>
      <c r="C8">
        <f>SUM($B$3:C$3)</f>
        <v>0.13793103448275862</v>
      </c>
      <c r="D8">
        <f>SUM($B$3:D$3)</f>
        <v>0.44827586206896552</v>
      </c>
      <c r="E8">
        <f>SUM($B$3:E$3)</f>
        <v>1</v>
      </c>
    </row>
    <row r="10" spans="1:6" x14ac:dyDescent="0.3">
      <c r="A10" t="s">
        <v>18</v>
      </c>
      <c r="B10" t="str">
        <f ca="1">LOOKUP(B5,B8:E8,B7:E7)</f>
        <v>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53B8-985E-4BE7-89A2-4DC639599EB5}">
  <dimension ref="A1:F6"/>
  <sheetViews>
    <sheetView workbookViewId="0">
      <selection sqref="A1:F6"/>
    </sheetView>
  </sheetViews>
  <sheetFormatPr defaultRowHeight="14.4" x14ac:dyDescent="0.3"/>
  <sheetData>
    <row r="1" spans="1:6" x14ac:dyDescent="0.3">
      <c r="A1" s="1"/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</row>
    <row r="2" spans="1:6" x14ac:dyDescent="0.3">
      <c r="A2" s="2" t="s">
        <v>0</v>
      </c>
      <c r="B2" s="2">
        <v>0</v>
      </c>
      <c r="C2" s="2">
        <v>0.1</v>
      </c>
      <c r="D2" s="2">
        <v>0.1</v>
      </c>
      <c r="E2" s="2">
        <v>0.1</v>
      </c>
      <c r="F2" s="2">
        <v>0.1</v>
      </c>
    </row>
    <row r="3" spans="1:6" x14ac:dyDescent="0.3">
      <c r="A3" s="2" t="s">
        <v>1</v>
      </c>
      <c r="B3" s="2">
        <v>0.1</v>
      </c>
      <c r="C3" s="2">
        <v>0</v>
      </c>
      <c r="D3" s="2">
        <v>0.1</v>
      </c>
      <c r="E3" s="2">
        <v>0.1</v>
      </c>
      <c r="F3" s="2">
        <v>0.1</v>
      </c>
    </row>
    <row r="4" spans="1:6" x14ac:dyDescent="0.3">
      <c r="A4" s="2" t="s">
        <v>10</v>
      </c>
      <c r="B4" s="2">
        <v>0.1</v>
      </c>
      <c r="C4" s="2">
        <v>0.1</v>
      </c>
      <c r="D4" s="2">
        <v>0</v>
      </c>
      <c r="E4" s="2">
        <v>0.1</v>
      </c>
      <c r="F4" s="2">
        <v>0.1</v>
      </c>
    </row>
    <row r="5" spans="1:6" x14ac:dyDescent="0.3">
      <c r="A5" s="2" t="s">
        <v>11</v>
      </c>
      <c r="B5" s="2">
        <v>0.1</v>
      </c>
      <c r="C5" s="2">
        <v>0.1</v>
      </c>
      <c r="D5" s="2">
        <v>0.1</v>
      </c>
      <c r="E5" s="2">
        <v>0</v>
      </c>
      <c r="F5" s="2">
        <v>0.1</v>
      </c>
    </row>
    <row r="6" spans="1:6" x14ac:dyDescent="0.3">
      <c r="A6" s="2" t="s">
        <v>12</v>
      </c>
      <c r="B6" s="2">
        <v>0.1</v>
      </c>
      <c r="C6" s="2">
        <v>0.1</v>
      </c>
      <c r="D6" s="2">
        <v>0.1</v>
      </c>
      <c r="E6" s="2">
        <v>0.1</v>
      </c>
      <c r="F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8CC3-DEFA-472B-9D5C-7C24816B0E6F}">
  <dimension ref="A1:E5"/>
  <sheetViews>
    <sheetView workbookViewId="0"/>
  </sheetViews>
  <sheetFormatPr defaultRowHeight="14.4" x14ac:dyDescent="0.3"/>
  <sheetData>
    <row r="1" spans="1:5" x14ac:dyDescent="0.3">
      <c r="A1">
        <f>IF(Jarak!B2=0,0,1/Jarak!B2)</f>
        <v>0</v>
      </c>
      <c r="B1">
        <f>IF(Jarak!C2=0,0,1/Jarak!C2)</f>
        <v>0.5</v>
      </c>
      <c r="C1">
        <f>IF(Jarak!D2=0,0,1/Jarak!D2)</f>
        <v>0.1111111111111111</v>
      </c>
      <c r="D1">
        <f>IF(Jarak!E2=0,0,1/Jarak!E2)</f>
        <v>0.1</v>
      </c>
      <c r="E1">
        <f>IF(Jarak!F2=0,0,1/Jarak!F2)</f>
        <v>0.14285714285714285</v>
      </c>
    </row>
    <row r="2" spans="1:5" x14ac:dyDescent="0.3">
      <c r="A2">
        <f>IF(Jarak!B3=0,0,1/Jarak!B3)</f>
        <v>0.5</v>
      </c>
      <c r="B2">
        <f>IF(Jarak!C3=0,0,1/Jarak!C3)</f>
        <v>0</v>
      </c>
      <c r="C2">
        <f>IF(Jarak!D3=0,0,1/Jarak!D3)</f>
        <v>0.16666666666666666</v>
      </c>
      <c r="D2">
        <f>IF(Jarak!E3=0,0,1/Jarak!E3)</f>
        <v>0.25</v>
      </c>
      <c r="E2">
        <f>IF(Jarak!F3=0,0,1/Jarak!F3)</f>
        <v>0.33333333333333331</v>
      </c>
    </row>
    <row r="3" spans="1:5" x14ac:dyDescent="0.3">
      <c r="A3">
        <f>IF(Jarak!B4=0,0,1/Jarak!B4)</f>
        <v>0.1111111111111111</v>
      </c>
      <c r="B3">
        <f>IF(Jarak!C4=0,0,1/Jarak!C4)</f>
        <v>0.16666666666666666</v>
      </c>
      <c r="C3">
        <f>IF(Jarak!D4=0,0,1/Jarak!D4)</f>
        <v>0</v>
      </c>
      <c r="D3">
        <f>IF(Jarak!E4=0,0,1/Jarak!E4)</f>
        <v>0.125</v>
      </c>
      <c r="E3">
        <f>IF(Jarak!F4=0,0,1/Jarak!F4)</f>
        <v>0.2</v>
      </c>
    </row>
    <row r="4" spans="1:5" x14ac:dyDescent="0.3">
      <c r="A4">
        <f>IF(Jarak!B5=0,0,1/Jarak!B5)</f>
        <v>0.1</v>
      </c>
      <c r="B4">
        <f>IF(Jarak!C5=0,0,1/Jarak!C5)</f>
        <v>0.25</v>
      </c>
      <c r="C4">
        <f>IF(Jarak!D5=0,0,1/Jarak!D5)</f>
        <v>0.125</v>
      </c>
      <c r="D4">
        <f>IF(Jarak!E5=0,0,1/Jarak!E5)</f>
        <v>0</v>
      </c>
      <c r="E4">
        <f>IF(Jarak!F5=0,0,1/Jarak!F5)</f>
        <v>0.16666666666666666</v>
      </c>
    </row>
    <row r="5" spans="1:5" x14ac:dyDescent="0.3">
      <c r="A5">
        <f>IF(Jarak!B6=0,0,1/Jarak!B6)</f>
        <v>0.14285714285714285</v>
      </c>
      <c r="B5">
        <f>IF(Jarak!C6=0,0,1/Jarak!C6)</f>
        <v>0.33333333333333331</v>
      </c>
      <c r="C5">
        <f>IF(Jarak!D6=0,0,1/Jarak!D6)</f>
        <v>0.2</v>
      </c>
      <c r="D5">
        <f>IF(Jarak!E6=0,0,1/Jarak!E6)</f>
        <v>0.16666666666666666</v>
      </c>
      <c r="E5">
        <f>IF(Jarak!F6=0,0,1/Jarak!F6)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C124-6E16-43DF-BAB2-4242DD9D7469}">
  <dimension ref="A1:F6"/>
  <sheetViews>
    <sheetView workbookViewId="0">
      <selection activeCell="A2" sqref="A2"/>
    </sheetView>
  </sheetViews>
  <sheetFormatPr defaultRowHeight="14.4" x14ac:dyDescent="0.3"/>
  <sheetData>
    <row r="1" spans="1:6" x14ac:dyDescent="0.3">
      <c r="A1" s="1"/>
      <c r="B1" s="1" t="s">
        <v>0</v>
      </c>
      <c r="C1" s="1" t="s">
        <v>1</v>
      </c>
      <c r="D1" s="1" t="s">
        <v>10</v>
      </c>
      <c r="E1" s="1" t="s">
        <v>11</v>
      </c>
      <c r="F1" s="1" t="s">
        <v>12</v>
      </c>
    </row>
    <row r="2" spans="1:6" x14ac:dyDescent="0.3">
      <c r="A2" s="2" t="s">
        <v>0</v>
      </c>
      <c r="B2" s="2">
        <v>0</v>
      </c>
      <c r="C2" s="2">
        <v>2</v>
      </c>
      <c r="D2" s="2">
        <v>9</v>
      </c>
      <c r="E2" s="2">
        <v>10</v>
      </c>
      <c r="F2" s="2">
        <v>7</v>
      </c>
    </row>
    <row r="3" spans="1:6" x14ac:dyDescent="0.3">
      <c r="A3" s="2" t="s">
        <v>1</v>
      </c>
      <c r="B3" s="2">
        <v>2</v>
      </c>
      <c r="C3" s="2">
        <v>0</v>
      </c>
      <c r="D3" s="2">
        <v>6</v>
      </c>
      <c r="E3" s="2">
        <v>4</v>
      </c>
      <c r="F3" s="2">
        <v>3</v>
      </c>
    </row>
    <row r="4" spans="1:6" x14ac:dyDescent="0.3">
      <c r="A4" s="2" t="s">
        <v>10</v>
      </c>
      <c r="B4" s="2">
        <v>9</v>
      </c>
      <c r="C4" s="2">
        <v>6</v>
      </c>
      <c r="D4" s="2">
        <v>0</v>
      </c>
      <c r="E4" s="2">
        <v>8</v>
      </c>
      <c r="F4" s="2">
        <v>5</v>
      </c>
    </row>
    <row r="5" spans="1:6" x14ac:dyDescent="0.3">
      <c r="A5" s="2" t="s">
        <v>11</v>
      </c>
      <c r="B5" s="2">
        <v>10</v>
      </c>
      <c r="C5" s="2">
        <v>4</v>
      </c>
      <c r="D5" s="2">
        <v>8</v>
      </c>
      <c r="E5" s="2">
        <v>0</v>
      </c>
      <c r="F5" s="2">
        <v>6</v>
      </c>
    </row>
    <row r="6" spans="1:6" x14ac:dyDescent="0.3">
      <c r="A6" s="2" t="s">
        <v>12</v>
      </c>
      <c r="B6" s="2">
        <v>7</v>
      </c>
      <c r="C6" s="2">
        <v>3</v>
      </c>
      <c r="D6" s="2">
        <v>5</v>
      </c>
      <c r="E6" s="2">
        <v>6</v>
      </c>
      <c r="F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F392-4DB2-4469-8ADD-1D05583662A8}">
  <dimension ref="A1:B7"/>
  <sheetViews>
    <sheetView workbookViewId="0">
      <selection activeCell="A9" sqref="A9"/>
    </sheetView>
  </sheetViews>
  <sheetFormatPr defaultRowHeight="14.4" x14ac:dyDescent="0.3"/>
  <cols>
    <col min="1" max="1" width="20.6640625" customWidth="1"/>
    <col min="2" max="2" width="7.33203125" customWidth="1"/>
  </cols>
  <sheetData>
    <row r="1" spans="1:2" x14ac:dyDescent="0.3">
      <c r="A1" s="3" t="s">
        <v>2</v>
      </c>
      <c r="B1" s="3" t="s">
        <v>3</v>
      </c>
    </row>
    <row r="2" spans="1:2" ht="14.4" customHeight="1" x14ac:dyDescent="0.3">
      <c r="A2" s="3" t="s">
        <v>4</v>
      </c>
      <c r="B2" s="3">
        <v>1</v>
      </c>
    </row>
    <row r="3" spans="1:2" ht="14.4" customHeight="1" x14ac:dyDescent="0.3">
      <c r="A3" s="3" t="s">
        <v>5</v>
      </c>
      <c r="B3" s="3">
        <v>2</v>
      </c>
    </row>
    <row r="4" spans="1:2" ht="14.4" customHeight="1" x14ac:dyDescent="0.3">
      <c r="A4" s="3" t="s">
        <v>6</v>
      </c>
      <c r="B4" s="3">
        <v>0.5</v>
      </c>
    </row>
    <row r="5" spans="1:2" ht="14.4" customHeight="1" x14ac:dyDescent="0.3">
      <c r="A5" s="3" t="s">
        <v>7</v>
      </c>
      <c r="B5" s="3">
        <v>100</v>
      </c>
    </row>
    <row r="6" spans="1:2" ht="14.4" customHeight="1" x14ac:dyDescent="0.3">
      <c r="A6" s="3" t="s">
        <v>8</v>
      </c>
      <c r="B6" s="3">
        <v>5</v>
      </c>
    </row>
    <row r="7" spans="1:2" ht="14.4" customHeight="1" x14ac:dyDescent="0.3">
      <c r="A7" s="3" t="s">
        <v>9</v>
      </c>
      <c r="B7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Jarak</vt:lpstr>
      <vt:lpstr>Rute Semut</vt:lpstr>
      <vt:lpstr>Probabilitas A</vt:lpstr>
      <vt:lpstr>Feromon</vt:lpstr>
      <vt:lpstr>Visibility</vt:lpstr>
      <vt:lpstr>Jarak</vt:lpstr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2026-01-01T16:06:59Z</dcterms:created>
  <dcterms:modified xsi:type="dcterms:W3CDTF">2026-01-02T17:24:34Z</dcterms:modified>
</cp:coreProperties>
</file>