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Cakrawala University\Semester 3\OpMT2\uas_opmt2_david_abadi_24130500003\"/>
    </mc:Choice>
  </mc:AlternateContent>
  <xr:revisionPtr revIDLastSave="0" documentId="13_ncr:1_{C61344F5-543E-4470-B515-F29F9F9C76ED}" xr6:coauthVersionLast="47" xr6:coauthVersionMax="47" xr10:uidLastSave="{00000000-0000-0000-0000-000000000000}"/>
  <bookViews>
    <workbookView xWindow="3552" yWindow="3360" windowWidth="17280" windowHeight="8880" xr2:uid="{6CAF647A-C56A-4B60-B12A-89E7EB446162}"/>
  </bookViews>
  <sheets>
    <sheet name="Sheet1" sheetId="8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3" i="8" l="1"/>
  <c r="G23" i="8"/>
  <c r="I23" i="8" s="1"/>
  <c r="L22" i="8"/>
  <c r="L21" i="8"/>
  <c r="I21" i="8" s="1"/>
  <c r="G22" i="8" s="1"/>
  <c r="J22" i="8" s="1"/>
  <c r="J21" i="8"/>
  <c r="L16" i="8"/>
  <c r="K16" i="8"/>
  <c r="J16" i="8"/>
  <c r="I16" i="8"/>
  <c r="H16" i="8"/>
  <c r="L15" i="8"/>
  <c r="K15" i="8"/>
  <c r="J15" i="8"/>
  <c r="I15" i="8"/>
  <c r="H15" i="8"/>
  <c r="L14" i="8"/>
  <c r="K14" i="8"/>
  <c r="J14" i="8"/>
  <c r="I14" i="8"/>
  <c r="H14" i="8"/>
  <c r="L13" i="8"/>
  <c r="K13" i="8"/>
  <c r="J13" i="8"/>
  <c r="I13" i="8"/>
  <c r="H13" i="8"/>
  <c r="L12" i="8"/>
  <c r="K12" i="8"/>
  <c r="J12" i="8"/>
  <c r="I12" i="8"/>
  <c r="H12" i="8"/>
  <c r="J23" i="8" l="1"/>
  <c r="I22" i="8"/>
  <c r="K23" i="8" l="1"/>
  <c r="H23" i="8"/>
  <c r="K22" i="8"/>
  <c r="H22" i="8" s="1"/>
  <c r="K21" i="8"/>
  <c r="H21" i="8" s="1"/>
</calcChain>
</file>

<file path=xl/sharedStrings.xml><?xml version="1.0" encoding="utf-8"?>
<sst xmlns="http://schemas.openxmlformats.org/spreadsheetml/2006/main" count="39" uniqueCount="30">
  <si>
    <t>A</t>
  </si>
  <si>
    <t>B</t>
  </si>
  <si>
    <t>Parameter</t>
  </si>
  <si>
    <t>Nilai</t>
  </si>
  <si>
    <t>Alpha (α)</t>
  </si>
  <si>
    <t>Beta (β)</t>
  </si>
  <si>
    <t>Evaporation (ρ)</t>
  </si>
  <si>
    <t>Q (Konstanta Feromon)</t>
  </si>
  <si>
    <t>Jumlah Semut</t>
  </si>
  <si>
    <t>Jumlah Iterasi</t>
  </si>
  <si>
    <t>C</t>
  </si>
  <si>
    <t>D</t>
  </si>
  <si>
    <t>E</t>
  </si>
  <si>
    <t>Keterangan</t>
  </si>
  <si>
    <t>Jarak</t>
  </si>
  <si>
    <t>Visibility</t>
  </si>
  <si>
    <t>Iterasi</t>
  </si>
  <si>
    <t>Semut</t>
  </si>
  <si>
    <t>Kota Awal</t>
  </si>
  <si>
    <t>Rute</t>
  </si>
  <si>
    <t>Total Jarak</t>
  </si>
  <si>
    <t>Feromon Awal</t>
  </si>
  <si>
    <t>Probabilitas</t>
  </si>
  <si>
    <t>Feromon Baru</t>
  </si>
  <si>
    <t>A-B-C-D</t>
  </si>
  <si>
    <t>Numerator</t>
  </si>
  <si>
    <t>Denominator</t>
  </si>
  <si>
    <t>Delta Feromon</t>
  </si>
  <si>
    <t>A-C-B-D</t>
  </si>
  <si>
    <t>A-B-D-C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</si>
</sst>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68" fontId="0" fillId="0" borderId="1" xfId="0" applyNumberFormat="1" applyBorder="1" applyAlignment="1">
      <alignment vertical="center" wrapText="1"/>
    </xf>
    <xf numFmtId="168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5538F-41E5-40D3-991D-E338CAF72B62}">
  <dimension ref="A1:L23"/>
  <sheetViews>
    <sheetView tabSelected="1" zoomScale="70" zoomScaleNormal="70" workbookViewId="0">
      <selection activeCell="L23" sqref="L23"/>
    </sheetView>
  </sheetViews>
  <sheetFormatPr defaultRowHeight="14.4" x14ac:dyDescent="0.3"/>
  <cols>
    <col min="1" max="1" width="14.77734375" customWidth="1"/>
    <col min="2" max="2" width="9.33203125" customWidth="1"/>
    <col min="7" max="7" width="11.88671875" bestFit="1" customWidth="1"/>
    <col min="9" max="9" width="11.88671875" bestFit="1" customWidth="1"/>
  </cols>
  <sheetData>
    <row r="1" spans="1:12" x14ac:dyDescent="0.3">
      <c r="A1" s="4" t="s">
        <v>2</v>
      </c>
    </row>
    <row r="2" spans="1:12" x14ac:dyDescent="0.3">
      <c r="A2" s="2" t="s">
        <v>13</v>
      </c>
      <c r="B2" s="2" t="s">
        <v>3</v>
      </c>
    </row>
    <row r="3" spans="1:12" x14ac:dyDescent="0.3">
      <c r="A3" s="1" t="s">
        <v>4</v>
      </c>
      <c r="B3" s="1">
        <v>1</v>
      </c>
    </row>
    <row r="4" spans="1:12" x14ac:dyDescent="0.3">
      <c r="A4" s="1" t="s">
        <v>5</v>
      </c>
      <c r="B4" s="1">
        <v>2</v>
      </c>
    </row>
    <row r="5" spans="1:12" x14ac:dyDescent="0.3">
      <c r="A5" s="1" t="s">
        <v>6</v>
      </c>
      <c r="B5" s="1">
        <v>0.5</v>
      </c>
    </row>
    <row r="6" spans="1:12" ht="28.8" x14ac:dyDescent="0.3">
      <c r="A6" s="1" t="s">
        <v>7</v>
      </c>
      <c r="B6" s="1">
        <v>100</v>
      </c>
    </row>
    <row r="7" spans="1:12" x14ac:dyDescent="0.3">
      <c r="A7" s="1" t="s">
        <v>8</v>
      </c>
      <c r="B7" s="1">
        <v>5</v>
      </c>
    </row>
    <row r="8" spans="1:12" x14ac:dyDescent="0.3">
      <c r="A8" s="1" t="s">
        <v>9</v>
      </c>
      <c r="B8" s="1">
        <v>10</v>
      </c>
    </row>
    <row r="10" spans="1:12" x14ac:dyDescent="0.3">
      <c r="A10" s="4" t="s">
        <v>14</v>
      </c>
      <c r="H10" s="4" t="s">
        <v>15</v>
      </c>
    </row>
    <row r="11" spans="1:12" x14ac:dyDescent="0.3">
      <c r="A11" s="3" t="s">
        <v>0</v>
      </c>
      <c r="B11" s="3" t="s">
        <v>1</v>
      </c>
      <c r="C11" s="3" t="s">
        <v>10</v>
      </c>
      <c r="D11" s="3" t="s">
        <v>11</v>
      </c>
      <c r="E11" s="3" t="s">
        <v>12</v>
      </c>
      <c r="H11" s="3" t="s">
        <v>0</v>
      </c>
      <c r="I11" s="3" t="s">
        <v>1</v>
      </c>
      <c r="J11" s="3" t="s">
        <v>10</v>
      </c>
      <c r="K11" s="3" t="s">
        <v>11</v>
      </c>
      <c r="L11" s="3" t="s">
        <v>12</v>
      </c>
    </row>
    <row r="12" spans="1:12" x14ac:dyDescent="0.3">
      <c r="A12" s="1">
        <v>0</v>
      </c>
      <c r="B12" s="1">
        <v>2</v>
      </c>
      <c r="C12" s="1">
        <v>9</v>
      </c>
      <c r="D12" s="1">
        <v>10</v>
      </c>
      <c r="E12" s="1">
        <v>7</v>
      </c>
      <c r="H12" s="5">
        <f>IF(A12=0,0,1/A12)</f>
        <v>0</v>
      </c>
      <c r="I12" s="5">
        <f t="shared" ref="I12:I16" si="0">IF(B12=0,0,1/B12)</f>
        <v>0.5</v>
      </c>
      <c r="J12" s="5">
        <f t="shared" ref="J12:J16" si="1">IF(C12=0,0,1/C12)</f>
        <v>0.1111111111111111</v>
      </c>
      <c r="K12" s="5">
        <f t="shared" ref="K12:K16" si="2">IF(D12=0,0,1/D12)</f>
        <v>0.1</v>
      </c>
      <c r="L12" s="5">
        <f t="shared" ref="L12:L16" si="3">IF(E12=0,0,1/E12)</f>
        <v>0.14285714285714285</v>
      </c>
    </row>
    <row r="13" spans="1:12" x14ac:dyDescent="0.3">
      <c r="A13" s="1">
        <v>2</v>
      </c>
      <c r="B13" s="1">
        <v>0</v>
      </c>
      <c r="C13" s="1">
        <v>6</v>
      </c>
      <c r="D13" s="1">
        <v>4</v>
      </c>
      <c r="E13" s="1">
        <v>3</v>
      </c>
      <c r="H13" s="5">
        <f t="shared" ref="H13:H16" si="4">IF(A13=0,0,1/A13)</f>
        <v>0.5</v>
      </c>
      <c r="I13" s="5">
        <f t="shared" si="0"/>
        <v>0</v>
      </c>
      <c r="J13" s="5">
        <f t="shared" si="1"/>
        <v>0.16666666666666666</v>
      </c>
      <c r="K13" s="5">
        <f t="shared" si="2"/>
        <v>0.25</v>
      </c>
      <c r="L13" s="5">
        <f t="shared" si="3"/>
        <v>0.33333333333333331</v>
      </c>
    </row>
    <row r="14" spans="1:12" x14ac:dyDescent="0.3">
      <c r="A14" s="1">
        <v>9</v>
      </c>
      <c r="B14" s="1">
        <v>6</v>
      </c>
      <c r="C14" s="1">
        <v>0</v>
      </c>
      <c r="D14" s="1">
        <v>8</v>
      </c>
      <c r="E14" s="1">
        <v>5</v>
      </c>
      <c r="H14" s="5">
        <f t="shared" si="4"/>
        <v>0.1111111111111111</v>
      </c>
      <c r="I14" s="5">
        <f t="shared" si="0"/>
        <v>0.16666666666666666</v>
      </c>
      <c r="J14" s="5">
        <f t="shared" si="1"/>
        <v>0</v>
      </c>
      <c r="K14" s="5">
        <f t="shared" si="2"/>
        <v>0.125</v>
      </c>
      <c r="L14" s="5">
        <f t="shared" si="3"/>
        <v>0.2</v>
      </c>
    </row>
    <row r="15" spans="1:12" x14ac:dyDescent="0.3">
      <c r="A15" s="1">
        <v>10</v>
      </c>
      <c r="B15" s="1">
        <v>4</v>
      </c>
      <c r="C15" s="1">
        <v>8</v>
      </c>
      <c r="D15" s="1">
        <v>0</v>
      </c>
      <c r="E15" s="1">
        <v>6</v>
      </c>
      <c r="H15" s="5">
        <f t="shared" si="4"/>
        <v>0.1</v>
      </c>
      <c r="I15" s="5">
        <f t="shared" si="0"/>
        <v>0.25</v>
      </c>
      <c r="J15" s="5">
        <f t="shared" si="1"/>
        <v>0.125</v>
      </c>
      <c r="K15" s="5">
        <f t="shared" si="2"/>
        <v>0</v>
      </c>
      <c r="L15" s="5">
        <f t="shared" si="3"/>
        <v>0.16666666666666666</v>
      </c>
    </row>
    <row r="16" spans="1:12" x14ac:dyDescent="0.3">
      <c r="A16" s="1">
        <v>7</v>
      </c>
      <c r="B16" s="1">
        <v>3</v>
      </c>
      <c r="C16" s="1">
        <v>5</v>
      </c>
      <c r="D16" s="1">
        <v>6</v>
      </c>
      <c r="E16" s="1">
        <v>0</v>
      </c>
      <c r="H16" s="5">
        <f t="shared" si="4"/>
        <v>0.14285714285714285</v>
      </c>
      <c r="I16" s="5">
        <f t="shared" si="0"/>
        <v>0.33333333333333331</v>
      </c>
      <c r="J16" s="5">
        <f t="shared" si="1"/>
        <v>0.2</v>
      </c>
      <c r="K16" s="5">
        <f t="shared" si="2"/>
        <v>0.16666666666666666</v>
      </c>
      <c r="L16" s="5">
        <f t="shared" si="3"/>
        <v>0</v>
      </c>
    </row>
    <row r="20" spans="1:12" ht="28.8" x14ac:dyDescent="0.3">
      <c r="A20" s="6" t="s">
        <v>16</v>
      </c>
      <c r="B20" s="6" t="s">
        <v>17</v>
      </c>
      <c r="C20" s="6" t="s">
        <v>18</v>
      </c>
      <c r="D20" s="6" t="s">
        <v>19</v>
      </c>
      <c r="E20" s="6" t="s">
        <v>20</v>
      </c>
      <c r="F20" s="6" t="s">
        <v>15</v>
      </c>
      <c r="G20" s="6" t="s">
        <v>21</v>
      </c>
      <c r="H20" s="6" t="s">
        <v>22</v>
      </c>
      <c r="I20" s="6" t="s">
        <v>23</v>
      </c>
      <c r="J20" s="7" t="s">
        <v>25</v>
      </c>
      <c r="K20" s="7" t="s">
        <v>26</v>
      </c>
      <c r="L20" s="7" t="s">
        <v>27</v>
      </c>
    </row>
    <row r="21" spans="1:12" x14ac:dyDescent="0.3">
      <c r="A21" s="1">
        <v>1</v>
      </c>
      <c r="B21" s="1">
        <v>1</v>
      </c>
      <c r="C21" s="1" t="s">
        <v>0</v>
      </c>
      <c r="D21" s="1" t="s">
        <v>24</v>
      </c>
      <c r="E21" s="1">
        <v>16</v>
      </c>
      <c r="F21" s="1">
        <v>0.32</v>
      </c>
      <c r="G21" s="1">
        <v>1</v>
      </c>
      <c r="H21" s="8">
        <f>J21/K21</f>
        <v>6.1019670814933757E-2</v>
      </c>
      <c r="I21" s="8">
        <f>(1-$B$5)*G21+L21</f>
        <v>6.75</v>
      </c>
      <c r="J21" s="9">
        <f>(G21^$B$3) * (F21^$B$4)</f>
        <v>0.1024</v>
      </c>
      <c r="K21" s="9">
        <f>SUM($J$21:J24)</f>
        <v>1.6781473684210528</v>
      </c>
      <c r="L21" s="9">
        <f>$B$6/E21</f>
        <v>6.25</v>
      </c>
    </row>
    <row r="22" spans="1:12" x14ac:dyDescent="0.3">
      <c r="A22" s="1">
        <v>2</v>
      </c>
      <c r="B22" s="1">
        <v>1</v>
      </c>
      <c r="C22" s="1" t="s">
        <v>0</v>
      </c>
      <c r="D22" s="1" t="s">
        <v>28</v>
      </c>
      <c r="E22" s="1">
        <v>19</v>
      </c>
      <c r="F22" s="1">
        <v>0.32</v>
      </c>
      <c r="G22" s="1">
        <f>I21</f>
        <v>6.75</v>
      </c>
      <c r="H22" s="8">
        <f>J22/K22</f>
        <v>0.41188277800080286</v>
      </c>
      <c r="I22" s="8">
        <f>(1-$B$5)*G22+L22</f>
        <v>8.6381578947368425</v>
      </c>
      <c r="J22" s="9">
        <f>(G22^$B$3) * (F22^$B$4)</f>
        <v>0.69120000000000004</v>
      </c>
      <c r="K22" s="9">
        <f>SUM($J$21:J25)</f>
        <v>1.6781473684210528</v>
      </c>
      <c r="L22" s="9">
        <f>$B$6/E22</f>
        <v>5.2631578947368425</v>
      </c>
    </row>
    <row r="23" spans="1:12" x14ac:dyDescent="0.3">
      <c r="A23" s="1">
        <v>3</v>
      </c>
      <c r="B23" s="1">
        <v>1</v>
      </c>
      <c r="C23" s="1" t="s">
        <v>0</v>
      </c>
      <c r="D23" s="1" t="s">
        <v>29</v>
      </c>
      <c r="E23" s="1">
        <v>14</v>
      </c>
      <c r="F23" s="1">
        <v>0.32</v>
      </c>
      <c r="G23" s="1">
        <f>I22</f>
        <v>8.6381578947368425</v>
      </c>
      <c r="H23" s="8">
        <f>J23/K23</f>
        <v>0.52709755118426338</v>
      </c>
      <c r="I23" s="8">
        <f>(1-$B$5)*G23+L23</f>
        <v>11.461936090225564</v>
      </c>
      <c r="J23" s="9">
        <f>(G23^$B$3) * (F23^$B$4)</f>
        <v>0.88454736842105275</v>
      </c>
      <c r="K23" s="9">
        <f>SUM($J$21:J26)</f>
        <v>1.6781473684210528</v>
      </c>
      <c r="L23" s="9">
        <f>$B$6/E23</f>
        <v>7.1428571428571432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2026-01-01T16:06:59Z</dcterms:created>
  <dcterms:modified xsi:type="dcterms:W3CDTF">2026-01-06T16:31:24Z</dcterms:modified>
</cp:coreProperties>
</file>